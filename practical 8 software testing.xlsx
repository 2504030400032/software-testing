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asus\Desktop\Softwear Testing\"/>
    </mc:Choice>
  </mc:AlternateContent>
  <xr:revisionPtr revIDLastSave="0" documentId="8_{C54DDFB6-A8A3-491E-9BB3-027947E9717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est Case 8" sheetId="1" r:id="rId1"/>
    <sheet name="Test Summary Report" sheetId="2" r:id="rId2"/>
    <sheet name="Test Execution Report" sheetId="3" r:id="rId3"/>
    <sheet name="Bug Report (Bugzilla)" sheetId="4" r:id="rId4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2" i="3" l="1"/>
  <c r="E12" i="3"/>
  <c r="D12" i="3"/>
  <c r="C12" i="3"/>
  <c r="F11" i="3"/>
  <c r="E11" i="3"/>
  <c r="D11" i="3"/>
  <c r="C11" i="3"/>
  <c r="F10" i="3"/>
  <c r="E10" i="3"/>
  <c r="D10" i="3"/>
  <c r="C10" i="3"/>
  <c r="F9" i="3"/>
  <c r="E9" i="3"/>
  <c r="D9" i="3"/>
  <c r="C9" i="3"/>
  <c r="F8" i="3"/>
  <c r="E8" i="3"/>
  <c r="D8" i="3"/>
  <c r="C8" i="3"/>
  <c r="F7" i="3"/>
  <c r="E7" i="3"/>
  <c r="D7" i="3"/>
  <c r="C7" i="3"/>
  <c r="F6" i="3"/>
  <c r="E6" i="3"/>
  <c r="D6" i="3"/>
  <c r="C6" i="3"/>
  <c r="F5" i="3"/>
  <c r="E5" i="3"/>
  <c r="D5" i="3"/>
  <c r="C5" i="3"/>
  <c r="F4" i="3"/>
  <c r="E4" i="3"/>
  <c r="D4" i="3"/>
  <c r="C4" i="3"/>
  <c r="B12" i="2"/>
  <c r="B17" i="2" s="1"/>
  <c r="B11" i="2"/>
  <c r="B10" i="2"/>
  <c r="B9" i="2"/>
  <c r="B16" i="2" l="1"/>
  <c r="B15" i="2"/>
  <c r="B14" i="2"/>
</calcChain>
</file>

<file path=xl/sharedStrings.xml><?xml version="1.0" encoding="utf-8"?>
<sst xmlns="http://schemas.openxmlformats.org/spreadsheetml/2006/main" count="185" uniqueCount="136">
  <si>
    <t>Module Name:</t>
  </si>
  <si>
    <t>Login page (Form Authentication)</t>
  </si>
  <si>
    <t>Test Case ID:</t>
  </si>
  <si>
    <t>Tester Name:</t>
  </si>
  <si>
    <t>VIDHI PATEL</t>
  </si>
  <si>
    <t>Test Case Description:</t>
  </si>
  <si>
    <t>To validate the user login and logout workflows on the existing website https://the-internet.herokuapp.com/login (login page) using TestLink for test case management and Bugzilla for defect tracking.</t>
  </si>
  <si>
    <t>Prerequisites:</t>
  </si>
  <si>
    <t>1. Stable internet connection
2. Google Chrome browser
3. Valid URL of the login page
4. Test user credentials (tomsmith / SuperSecretPassword!)</t>
  </si>
  <si>
    <t>Environment Information:</t>
  </si>
  <si>
    <t>OS: Windows
System: Laptop(ASUS)
Browser: Google Chrome
Webpage: https://the-internet.herokuapp.com/login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</si>
  <si>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</si>
  <si>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</si>
  <si>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</si>
  <si>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</si>
  <si>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</si>
  <si>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</si>
  <si>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</si>
  <si>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</si>
  <si>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login with valid credentials</t>
  </si>
  <si>
    <t>1. Enter valid username : tomsmith
2. Enter valid password : SuperSecretPassword!
3. Click on Login</t>
  </si>
  <si>
    <t>Valid Username, Valid Password</t>
  </si>
  <si>
    <t>Redirected to Secure Area page.
Message: You logged into a secure area!</t>
  </si>
  <si>
    <t>Pass</t>
  </si>
  <si>
    <t>Done</t>
  </si>
  <si>
    <t>login with invalid username</t>
  </si>
  <si>
    <t>1. Enter invalid username : vidhi patel
2. Enter valid password : SuperSecretPassword!
3. Click on Login</t>
  </si>
  <si>
    <t>Invalid Username, Valid Password</t>
  </si>
  <si>
    <t>Should show error:
Your username is invalid!</t>
  </si>
  <si>
    <t>Error displayed:
Your username is invalid!</t>
  </si>
  <si>
    <t>login with invalid password</t>
  </si>
  <si>
    <t>1. Enter valid username : tomsmith
2. Enter invalid password : Godisgreat
3. Click on Login</t>
  </si>
  <si>
    <t>Valid Username, Invalid Password</t>
  </si>
  <si>
    <t>Should show error:
Your password is invalid!</t>
  </si>
  <si>
    <t>Error displayed:
Your password is invalid!</t>
  </si>
  <si>
    <t>login with invalid username and invalid password</t>
  </si>
  <si>
    <t>1. Enter invalid username : vidhi patel
2. Enter invalid password : Godisgreat
3. Click on Login</t>
  </si>
  <si>
    <t>Invalid Username, Invalid Password</t>
  </si>
  <si>
    <t>login with empty username</t>
  </si>
  <si>
    <t>1. Leave blank at username : -
2. Enter valid password : SuperSecretPassword!
3. Click on Login</t>
  </si>
  <si>
    <t>Blank Username, Valid Password</t>
  </si>
  <si>
    <t>Should show field specific error:
Username is required</t>
  </si>
  <si>
    <t>Generic error displayed:
Your username is invalid!</t>
  </si>
  <si>
    <t>Fail</t>
  </si>
  <si>
    <t>Defect BUG-001 reported in Bugzilla</t>
  </si>
  <si>
    <t>login with empty password</t>
  </si>
  <si>
    <t>1. Enter valid username : tomsmith
2. Leave blank at password : -
3. Click on Login</t>
  </si>
  <si>
    <t>Valid Username, Blank Password</t>
  </si>
  <si>
    <t>Should show field specific error:
Password is required</t>
  </si>
  <si>
    <t>Generic error displayed:
Your password is invalid!</t>
  </si>
  <si>
    <t>Defect BUG-002 reported in Bugzilla</t>
  </si>
  <si>
    <t>login with empty username and empty password</t>
  </si>
  <si>
    <t>1. Leave blank at username : -
2. Leave blank at password : -
3. Click on Login</t>
  </si>
  <si>
    <t>Blank Username, Blank Password</t>
  </si>
  <si>
    <t>Same root cause as BUG-001</t>
  </si>
  <si>
    <t>logout after successful login</t>
  </si>
  <si>
    <t>1. Login with tomsmith / SuperSecretPassword!
2. Click on Logout button on Secure Area page</t>
  </si>
  <si>
    <t>Valid session</t>
  </si>
  <si>
    <t>Redirected to Login page.
Message: You logged out of the secure area!</t>
  </si>
  <si>
    <t>access secure page without login</t>
  </si>
  <si>
    <t>1. Open a new browser tab
2. Directly open https://the-internet.herokuapp.com/secure without logging in</t>
  </si>
  <si>
    <t>No login session</t>
  </si>
  <si>
    <t>Test Summary Report - Login Module (the-internet.herokuapp.com)</t>
  </si>
  <si>
    <t>Metric</t>
  </si>
  <si>
    <t>Value</t>
  </si>
  <si>
    <t>Project Name</t>
  </si>
  <si>
    <t>Website Login Testing (Form Authentication)</t>
  </si>
  <si>
    <t>Application Tested</t>
  </si>
  <si>
    <t>https://the-internet.herokuapp.com/login</t>
  </si>
  <si>
    <t>Module Name</t>
  </si>
  <si>
    <t>Login Module</t>
  </si>
  <si>
    <t>Test Management Tool</t>
  </si>
  <si>
    <t>TestLink (Test Plan: Login Module Testing, Suite: Authentication Testing)</t>
  </si>
  <si>
    <t>Defect Tracking Tool</t>
  </si>
  <si>
    <t>Bugzilla</t>
  </si>
  <si>
    <t>Total Test Cases Designed</t>
  </si>
  <si>
    <t>Total Test Cases Executed</t>
  </si>
  <si>
    <t>Total Passed Test Cases</t>
  </si>
  <si>
    <t>Total Failed Test Cases</t>
  </si>
  <si>
    <t>Total Blocked Test Cases</t>
  </si>
  <si>
    <t>Total Not Executed Test Cases</t>
  </si>
  <si>
    <t>Pass Percentage (%)</t>
  </si>
  <si>
    <t>Fail Percentage (%)</t>
  </si>
  <si>
    <t>Overall Test Status</t>
  </si>
  <si>
    <t>Tester Name</t>
  </si>
  <si>
    <t>Execution Date</t>
  </si>
  <si>
    <t>28/10/2026</t>
  </si>
  <si>
    <t>Test Execution Report - Login Module</t>
  </si>
  <si>
    <t>Test Case ID</t>
  </si>
  <si>
    <t>Test Scenario</t>
  </si>
  <si>
    <t>Expected Result</t>
  </si>
  <si>
    <t>Actual Result</t>
  </si>
  <si>
    <t>Remarks</t>
  </si>
  <si>
    <t>TC001</t>
  </si>
  <si>
    <t>Login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</si>
  <si>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</si>
  <si>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</si>
  <si>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</si>
  <si>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</si>
  <si>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</si>
  <si>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</si>
  <si>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</si>
  <si>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</si>
  <si>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Bug Report - Bugzilla</t>
  </si>
  <si>
    <t>Bug ID</t>
  </si>
  <si>
    <t>Product</t>
  </si>
  <si>
    <t>Component</t>
  </si>
  <si>
    <t>Version</t>
  </si>
  <si>
    <t>Severity</t>
  </si>
  <si>
    <t>Priority</t>
  </si>
  <si>
    <t>Summary</t>
  </si>
  <si>
    <t>Steps to Reproduce</t>
  </si>
  <si>
    <t>Related Test Cases</t>
  </si>
  <si>
    <t>Assigned To</t>
  </si>
  <si>
    <t>BUG-001</t>
  </si>
  <si>
    <t>Login Module (Website Login)</t>
  </si>
  <si>
    <t>Login Page</t>
  </si>
  <si>
    <t>1.0</t>
  </si>
  <si>
    <t>Minor</t>
  </si>
  <si>
    <t>P3</t>
  </si>
  <si>
    <t>Blank username gives generic message "Your username is invalid!" instead of "Username is required"</t>
  </si>
  <si>
    <t>1. Open /login
2. Leave Username blank, enter valid password
3. Click Login</t>
  </si>
  <si>
    <t>Message: Username is required</t>
  </si>
  <si>
    <t>Message: Your username is invalid!</t>
  </si>
  <si>
    <t>TC005, TC007</t>
  </si>
  <si>
    <t>New</t>
  </si>
  <si>
    <t>Developer</t>
  </si>
  <si>
    <t>BUG-002</t>
  </si>
  <si>
    <t>Blank password gives generic message "Your password is invalid!" instead of "Password is required"</t>
  </si>
  <si>
    <t>1. Open /login
2. Enter valid username, leave Password blank
3. Click Login</t>
  </si>
  <si>
    <t>Message: Password is required</t>
  </si>
  <si>
    <t>Message: Your password is invalid!</t>
  </si>
  <si>
    <t>Note: bug status follows the Bugzilla life cycle (New &gt; Assigned &gt; Resolved &gt; Verified &gt; Closed). Both bugs are New because the tested website is a third-party practice site that cannot be fixed by the tester.</t>
  </si>
  <si>
    <t>Should show error that username 
and password are required</t>
  </si>
  <si>
    <t>Redirected to Login page with error message
: You must login to view the secure area!</t>
  </si>
  <si>
    <t>Redirected to Login page with error message:
 You must login to view the secure area!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</si>
</sst>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0"/>
      <color rgb="FF000000"/>
      <name val="Arial"/>
      <charset val="1"/>
    </font>
    <font>
      <b/>
      <sz val="10"/>
      <color theme="1"/>
      <name val="Arial"/>
      <charset val="1"/>
    </font>
    <font>
      <sz val="10"/>
      <color theme="1"/>
      <name val="Arial"/>
      <charset val="1"/>
    </font>
    <font>
      <u/>
      <sz val="10"/>
      <color rgb="FF0000FF"/>
      <name val="Arial"/>
      <charset val="1"/>
    </font>
    <font>
      <b/>
      <sz val="10"/>
      <color rgb="FFC00000"/>
      <name val="Arial"/>
      <charset val="1"/>
    </font>
    <font>
      <b/>
      <sz val="12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i/>
      <sz val="9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ADE5FF"/>
        <bgColor rgb="FFCCCCFF"/>
      </patternFill>
    </fill>
    <fill>
      <patternFill patternType="solid">
        <fgColor rgb="FFFFFFFF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2" fillId="0" borderId="0" xfId="0" applyFont="1"/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2" fillId="3" borderId="0" xfId="0" applyFont="1" applyFill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left" vertical="center" wrapText="1"/>
    </xf>
    <xf numFmtId="164" fontId="7" fillId="0" borderId="1" xfId="0" applyNumberFormat="1" applyFont="1" applyBorder="1" applyAlignment="1">
      <alignment horizontal="left" vertical="center" wrapText="1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DE5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aucedem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abSelected="1" topLeftCell="A11" zoomScaleNormal="100" workbookViewId="0">
      <selection activeCell="B2" sqref="B2"/>
    </sheetView>
  </sheetViews>
  <sheetFormatPr defaultColWidth="12.6640625" defaultRowHeight="13.2" x14ac:dyDescent="0.25"/>
  <cols>
    <col min="1" max="1" width="27.109375" customWidth="1"/>
    <col min="2" max="2" width="39.6640625" customWidth="1"/>
    <col min="3" max="3" width="50.109375" customWidth="1"/>
    <col min="4" max="4" width="46.33203125" customWidth="1"/>
    <col min="5" max="5" width="43.88671875" customWidth="1"/>
    <col min="6" max="6" width="40.44140625" customWidth="1"/>
    <col min="7" max="7" width="12" customWidth="1"/>
    <col min="8" max="8" width="42" customWidth="1"/>
  </cols>
  <sheetData>
    <row r="1" spans="1:27" ht="15.75" customHeight="1" x14ac:dyDescent="0.25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5.75" customHeight="1" x14ac:dyDescent="0.25">
      <c r="A2" s="1" t="s">
        <v>2</v>
      </c>
      <c r="B2" s="2" t="s">
        <v>101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5.75" customHeight="1" x14ac:dyDescent="0.25">
      <c r="A3" s="1" t="s">
        <v>3</v>
      </c>
      <c r="B3" s="2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67.2" customHeight="1" x14ac:dyDescent="0.25">
      <c r="A4" s="1" t="s">
        <v>5</v>
      </c>
      <c r="B4" s="4" t="s">
        <v>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70.2" customHeight="1" x14ac:dyDescent="0.25">
      <c r="A5" s="1" t="s">
        <v>7</v>
      </c>
      <c r="B5" s="4" t="s">
        <v>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66" x14ac:dyDescent="0.25">
      <c r="A6" s="1" t="s">
        <v>9</v>
      </c>
      <c r="B6" s="5" t="s">
        <v>10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5.75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5.75" customHeight="1" x14ac:dyDescent="0.25">
      <c r="A8" s="3"/>
      <c r="B8" s="6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5.75" customHeigh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5.75" customHeight="1" x14ac:dyDescent="0.25">
      <c r="A10" s="7" t="s">
        <v>11</v>
      </c>
      <c r="B10" s="7" t="s">
        <v>12</v>
      </c>
      <c r="C10" s="7" t="s">
        <v>13</v>
      </c>
      <c r="D10" s="7" t="s">
        <v>14</v>
      </c>
      <c r="E10" s="7" t="s">
        <v>15</v>
      </c>
      <c r="F10" s="7" t="s">
        <v>16</v>
      </c>
      <c r="G10" s="7" t="s">
        <v>17</v>
      </c>
      <c r="H10" s="7" t="s">
        <v>18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57.75" customHeight="1" x14ac:dyDescent="0.25">
      <c r="A11" s="8">
        <v>1</v>
      </c>
      <c r="B11" s="8" t="s">
        <v>19</v>
      </c>
      <c r="C11" s="9" t="s">
        <v>20</v>
      </c>
      <c r="D11" s="8" t="s">
        <v>21</v>
      </c>
      <c r="E11" s="10" t="s">
        <v>22</v>
      </c>
      <c r="F11" s="10" t="s">
        <v>22</v>
      </c>
      <c r="G11" s="8" t="s">
        <v>23</v>
      </c>
      <c r="H11" s="8" t="s">
        <v>24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57.75" customHeight="1" x14ac:dyDescent="0.25">
      <c r="A12" s="8">
        <v>2</v>
      </c>
      <c r="B12" s="8" t="s">
        <v>25</v>
      </c>
      <c r="C12" s="9" t="s">
        <v>26</v>
      </c>
      <c r="D12" s="8" t="s">
        <v>27</v>
      </c>
      <c r="E12" s="10" t="s">
        <v>28</v>
      </c>
      <c r="F12" s="10" t="s">
        <v>29</v>
      </c>
      <c r="G12" s="8" t="s">
        <v>23</v>
      </c>
      <c r="H12" s="8" t="s">
        <v>24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57.75" customHeight="1" x14ac:dyDescent="0.25">
      <c r="A13" s="8">
        <v>3</v>
      </c>
      <c r="B13" s="8" t="s">
        <v>30</v>
      </c>
      <c r="C13" s="9" t="s">
        <v>31</v>
      </c>
      <c r="D13" s="8" t="s">
        <v>32</v>
      </c>
      <c r="E13" s="10" t="s">
        <v>33</v>
      </c>
      <c r="F13" s="10" t="s">
        <v>34</v>
      </c>
      <c r="G13" s="8" t="s">
        <v>23</v>
      </c>
      <c r="H13" s="8" t="s">
        <v>24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57.75" customHeight="1" x14ac:dyDescent="0.25">
      <c r="A14" s="8">
        <v>4</v>
      </c>
      <c r="B14" s="8" t="s">
        <v>35</v>
      </c>
      <c r="C14" s="9" t="s">
        <v>36</v>
      </c>
      <c r="D14" s="8" t="s">
        <v>37</v>
      </c>
      <c r="E14" s="10" t="s">
        <v>28</v>
      </c>
      <c r="F14" s="10" t="s">
        <v>29</v>
      </c>
      <c r="G14" s="8" t="s">
        <v>23</v>
      </c>
      <c r="H14" s="8" t="s">
        <v>24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57.75" customHeight="1" x14ac:dyDescent="0.25">
      <c r="A15" s="8">
        <v>5</v>
      </c>
      <c r="B15" s="8" t="s">
        <v>38</v>
      </c>
      <c r="C15" s="9" t="s">
        <v>39</v>
      </c>
      <c r="D15" s="8" t="s">
        <v>40</v>
      </c>
      <c r="E15" s="10" t="s">
        <v>41</v>
      </c>
      <c r="F15" s="10" t="s">
        <v>42</v>
      </c>
      <c r="G15" s="11" t="s">
        <v>43</v>
      </c>
      <c r="H15" s="8" t="s">
        <v>44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57.75" customHeight="1" x14ac:dyDescent="0.25">
      <c r="A16" s="8">
        <v>6</v>
      </c>
      <c r="B16" s="8" t="s">
        <v>45</v>
      </c>
      <c r="C16" s="9" t="s">
        <v>46</v>
      </c>
      <c r="D16" s="8" t="s">
        <v>47</v>
      </c>
      <c r="E16" s="10" t="s">
        <v>48</v>
      </c>
      <c r="F16" s="10" t="s">
        <v>49</v>
      </c>
      <c r="G16" s="11" t="s">
        <v>43</v>
      </c>
      <c r="H16" s="8" t="s">
        <v>50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57.75" customHeight="1" x14ac:dyDescent="0.25">
      <c r="A17" s="8">
        <v>7</v>
      </c>
      <c r="B17" s="8" t="s">
        <v>51</v>
      </c>
      <c r="C17" s="9" t="s">
        <v>52</v>
      </c>
      <c r="D17" s="8" t="s">
        <v>53</v>
      </c>
      <c r="E17" s="10" t="s">
        <v>133</v>
      </c>
      <c r="F17" s="10" t="s">
        <v>42</v>
      </c>
      <c r="G17" s="11" t="s">
        <v>43</v>
      </c>
      <c r="H17" s="8" t="s">
        <v>54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57.75" customHeight="1" x14ac:dyDescent="0.25">
      <c r="A18" s="8">
        <v>8</v>
      </c>
      <c r="B18" s="8" t="s">
        <v>55</v>
      </c>
      <c r="C18" s="9" t="s">
        <v>56</v>
      </c>
      <c r="D18" s="8" t="s">
        <v>57</v>
      </c>
      <c r="E18" s="10" t="s">
        <v>58</v>
      </c>
      <c r="F18" s="10" t="s">
        <v>58</v>
      </c>
      <c r="G18" s="8" t="s">
        <v>23</v>
      </c>
      <c r="H18" s="8" t="s">
        <v>24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57.75" customHeight="1" x14ac:dyDescent="0.25">
      <c r="A19" s="8">
        <v>9</v>
      </c>
      <c r="B19" s="8" t="s">
        <v>59</v>
      </c>
      <c r="C19" s="9" t="s">
        <v>60</v>
      </c>
      <c r="D19" s="8" t="s">
        <v>61</v>
      </c>
      <c r="E19" s="10" t="s">
        <v>134</v>
      </c>
      <c r="F19" s="10" t="s">
        <v>135</v>
      </c>
      <c r="G19" s="8" t="s">
        <v>23</v>
      </c>
      <c r="H19" s="8" t="s">
        <v>24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5.75" customHeight="1" x14ac:dyDescent="0.25">
      <c r="A20" s="8"/>
      <c r="B20" s="8"/>
      <c r="C20" s="12"/>
      <c r="D20" s="8"/>
      <c r="E20" s="8"/>
      <c r="F20" s="8"/>
      <c r="G20" s="8"/>
      <c r="H20" s="8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5.75" customHeight="1" x14ac:dyDescent="0.25">
      <c r="A21" s="8"/>
      <c r="B21" s="8"/>
      <c r="C21" s="12"/>
      <c r="D21" s="8"/>
      <c r="E21" s="8"/>
      <c r="F21" s="8"/>
      <c r="G21" s="8"/>
      <c r="H21" s="8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5.75" customHeight="1" x14ac:dyDescent="0.25">
      <c r="A22" s="8"/>
      <c r="B22" s="8"/>
      <c r="C22" s="12"/>
      <c r="D22" s="8"/>
      <c r="E22" s="8"/>
      <c r="F22" s="8"/>
      <c r="G22" s="8"/>
      <c r="H22" s="8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5.75" customHeight="1" x14ac:dyDescent="0.25">
      <c r="A23" s="8"/>
      <c r="B23" s="8"/>
      <c r="C23" s="12"/>
      <c r="D23" s="8"/>
      <c r="E23" s="8"/>
      <c r="F23" s="8"/>
      <c r="G23" s="8"/>
      <c r="H23" s="8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5.75" customHeight="1" x14ac:dyDescent="0.25">
      <c r="A24" s="8"/>
      <c r="B24" s="8"/>
      <c r="C24" s="12"/>
      <c r="D24" s="8"/>
      <c r="E24" s="8"/>
      <c r="F24" s="8"/>
      <c r="G24" s="8"/>
      <c r="H24" s="8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5.75" customHeight="1" x14ac:dyDescent="0.25">
      <c r="A25" s="8"/>
      <c r="B25" s="8"/>
      <c r="C25" s="12"/>
      <c r="D25" s="8"/>
      <c r="E25" s="8"/>
      <c r="F25" s="8"/>
      <c r="G25" s="8"/>
      <c r="H25" s="8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5.75" customHeight="1" x14ac:dyDescent="0.25">
      <c r="A26" s="8"/>
      <c r="B26" s="8"/>
      <c r="C26" s="2"/>
      <c r="D26" s="8"/>
      <c r="E26" s="8"/>
      <c r="F26" s="8"/>
      <c r="G26" s="8"/>
      <c r="H26" s="8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5.75" customHeight="1" x14ac:dyDescent="0.25">
      <c r="A27" s="8"/>
      <c r="B27" s="8"/>
      <c r="C27" s="2"/>
      <c r="D27" s="8"/>
      <c r="E27" s="8"/>
      <c r="F27" s="8"/>
      <c r="G27" s="8"/>
      <c r="H27" s="8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5.75" customHeight="1" x14ac:dyDescent="0.25">
      <c r="A28" s="8"/>
      <c r="B28" s="8"/>
      <c r="C28" s="2"/>
      <c r="D28" s="8"/>
      <c r="E28" s="8"/>
      <c r="F28" s="8"/>
      <c r="G28" s="8"/>
      <c r="H28" s="8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5.75" customHeight="1" x14ac:dyDescent="0.25">
      <c r="A29" s="8"/>
      <c r="B29" s="8"/>
      <c r="C29" s="2"/>
      <c r="D29" s="8"/>
      <c r="E29" s="8"/>
      <c r="F29" s="8"/>
      <c r="G29" s="8"/>
      <c r="H29" s="8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5.75" customHeight="1" x14ac:dyDescent="0.25">
      <c r="A30" s="8"/>
      <c r="B30" s="8"/>
      <c r="C30" s="2"/>
      <c r="D30" s="8"/>
      <c r="E30" s="8"/>
      <c r="F30" s="8"/>
      <c r="G30" s="8"/>
      <c r="H30" s="8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5.75" customHeight="1" x14ac:dyDescent="0.25">
      <c r="A31" s="8"/>
      <c r="B31" s="8"/>
      <c r="C31" s="2"/>
      <c r="D31" s="8"/>
      <c r="E31" s="8"/>
      <c r="F31" s="8"/>
      <c r="G31" s="8"/>
      <c r="H31" s="8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5.75" customHeight="1" x14ac:dyDescent="0.25">
      <c r="A32" s="8"/>
      <c r="B32" s="8"/>
      <c r="C32" s="2"/>
      <c r="D32" s="8"/>
      <c r="E32" s="8"/>
      <c r="F32" s="8"/>
      <c r="G32" s="8"/>
      <c r="H32" s="8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5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5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5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5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5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5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5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5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5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5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5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5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5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5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5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5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5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5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5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5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5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5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5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5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5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5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5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5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5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5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5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5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5.75" customHeight="1" x14ac:dyDescent="0.25"/>
    <row r="234" spans="1:27" ht="15.75" customHeight="1" x14ac:dyDescent="0.25"/>
    <row r="235" spans="1:27" ht="15.75" customHeight="1" x14ac:dyDescent="0.25"/>
    <row r="236" spans="1:27" ht="15.75" customHeight="1" x14ac:dyDescent="0.25"/>
    <row r="237" spans="1:27" ht="15.75" customHeight="1" x14ac:dyDescent="0.25"/>
    <row r="238" spans="1:27" ht="15.75" customHeight="1" x14ac:dyDescent="0.25"/>
    <row r="239" spans="1:27" ht="15.75" customHeight="1" x14ac:dyDescent="0.25"/>
    <row r="240" spans="1:27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hyperlinks>
    <hyperlink ref="B6" r:id="rId1" xr:uid="{00000000-0004-0000-00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zoomScaleNormal="100" workbookViewId="0"/>
  </sheetViews>
  <sheetFormatPr defaultColWidth="8.6640625" defaultRowHeight="13.2" x14ac:dyDescent="0.25"/>
  <cols>
    <col min="1" max="1" width="34" customWidth="1"/>
    <col min="2" max="2" width="70" customWidth="1"/>
  </cols>
  <sheetData>
    <row r="1" spans="1:2" ht="15.6" x14ac:dyDescent="0.3">
      <c r="A1" s="13" t="s">
        <v>62</v>
      </c>
    </row>
    <row r="3" spans="1:2" x14ac:dyDescent="0.25">
      <c r="A3" s="14" t="s">
        <v>63</v>
      </c>
      <c r="B3" s="14" t="s">
        <v>64</v>
      </c>
    </row>
    <row r="4" spans="1:2" x14ac:dyDescent="0.25">
      <c r="A4" s="15" t="s">
        <v>65</v>
      </c>
      <c r="B4" s="16" t="s">
        <v>66</v>
      </c>
    </row>
    <row r="5" spans="1:2" x14ac:dyDescent="0.25">
      <c r="A5" s="15" t="s">
        <v>67</v>
      </c>
      <c r="B5" s="16" t="s">
        <v>68</v>
      </c>
    </row>
    <row r="6" spans="1:2" x14ac:dyDescent="0.25">
      <c r="A6" s="15" t="s">
        <v>69</v>
      </c>
      <c r="B6" s="16" t="s">
        <v>70</v>
      </c>
    </row>
    <row r="7" spans="1:2" x14ac:dyDescent="0.25">
      <c r="A7" s="15" t="s">
        <v>71</v>
      </c>
      <c r="B7" s="16" t="s">
        <v>72</v>
      </c>
    </row>
    <row r="8" spans="1:2" x14ac:dyDescent="0.25">
      <c r="A8" s="15" t="s">
        <v>73</v>
      </c>
      <c r="B8" s="16" t="s">
        <v>74</v>
      </c>
    </row>
    <row r="9" spans="1:2" x14ac:dyDescent="0.25">
      <c r="A9" s="15" t="s">
        <v>75</v>
      </c>
      <c r="B9" s="16">
        <f>COUNTA('Test Case 8'!B11:B19)</f>
        <v>9</v>
      </c>
    </row>
    <row r="10" spans="1:2" x14ac:dyDescent="0.25">
      <c r="A10" s="15" t="s">
        <v>76</v>
      </c>
      <c r="B10" s="16">
        <f>COUNTA('Test Case 8'!G11:G19)</f>
        <v>9</v>
      </c>
    </row>
    <row r="11" spans="1:2" x14ac:dyDescent="0.25">
      <c r="A11" s="15" t="s">
        <v>77</v>
      </c>
      <c r="B11" s="16">
        <f>COUNTIF('Test Case 8'!G11:G19,"Pass")</f>
        <v>6</v>
      </c>
    </row>
    <row r="12" spans="1:2" x14ac:dyDescent="0.25">
      <c r="A12" s="15" t="s">
        <v>78</v>
      </c>
      <c r="B12" s="16">
        <f>COUNTIF('Test Case 8'!G11:G19,"Fail")</f>
        <v>3</v>
      </c>
    </row>
    <row r="13" spans="1:2" x14ac:dyDescent="0.25">
      <c r="A13" s="15" t="s">
        <v>79</v>
      </c>
      <c r="B13" s="16">
        <v>0</v>
      </c>
    </row>
    <row r="14" spans="1:2" x14ac:dyDescent="0.25">
      <c r="A14" s="15" t="s">
        <v>80</v>
      </c>
      <c r="B14" s="16">
        <f>B9-B10</f>
        <v>0</v>
      </c>
    </row>
    <row r="15" spans="1:2" x14ac:dyDescent="0.25">
      <c r="A15" s="15" t="s">
        <v>81</v>
      </c>
      <c r="B15" s="17">
        <f>IF(B9=0,0,B11/B9)</f>
        <v>0.66666666666666663</v>
      </c>
    </row>
    <row r="16" spans="1:2" x14ac:dyDescent="0.25">
      <c r="A16" s="15" t="s">
        <v>82</v>
      </c>
      <c r="B16" s="17">
        <f>IF(B9=0,0,B12/B9)</f>
        <v>0.33333333333333331</v>
      </c>
    </row>
    <row r="17" spans="1:2" x14ac:dyDescent="0.25">
      <c r="A17" s="15" t="s">
        <v>83</v>
      </c>
      <c r="B17" s="16" t="str">
        <f>IF(B12=0,"Pass","Fail")</f>
        <v>Fail</v>
      </c>
    </row>
    <row r="18" spans="1:2" x14ac:dyDescent="0.25">
      <c r="A18" s="15" t="s">
        <v>84</v>
      </c>
      <c r="B18" s="16" t="s">
        <v>4</v>
      </c>
    </row>
    <row r="19" spans="1:2" x14ac:dyDescent="0.25">
      <c r="A19" s="15" t="s">
        <v>85</v>
      </c>
      <c r="B19" s="16" t="s">
        <v>86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zoomScaleNormal="100" workbookViewId="0"/>
  </sheetViews>
  <sheetFormatPr defaultColWidth="8.6640625" defaultRowHeight="13.2" x14ac:dyDescent="0.25"/>
  <cols>
    <col min="1" max="1" width="13" customWidth="1"/>
    <col min="2" max="2" width="12" customWidth="1"/>
    <col min="3" max="3" width="36" customWidth="1"/>
    <col min="4" max="5" width="40" customWidth="1"/>
    <col min="6" max="6" width="10" customWidth="1"/>
    <col min="7" max="7" width="34" customWidth="1"/>
  </cols>
  <sheetData>
    <row r="1" spans="1:7" ht="15.6" x14ac:dyDescent="0.3">
      <c r="A1" s="13" t="s">
        <v>87</v>
      </c>
    </row>
    <row r="3" spans="1:7" ht="26.4" x14ac:dyDescent="0.25">
      <c r="A3" s="14" t="s">
        <v>88</v>
      </c>
      <c r="B3" s="14" t="s">
        <v>69</v>
      </c>
      <c r="C3" s="14" t="s">
        <v>89</v>
      </c>
      <c r="D3" s="14" t="s">
        <v>90</v>
      </c>
      <c r="E3" s="14" t="s">
        <v>91</v>
      </c>
      <c r="F3" s="14" t="s">
        <v>17</v>
      </c>
      <c r="G3" s="14" t="s">
        <v>92</v>
      </c>
    </row>
    <row r="4" spans="1:7" ht="48" customHeight="1" x14ac:dyDescent="0.25">
      <c r="A4" s="15" t="s">
        <v>93</v>
      </c>
      <c r="B4" s="15" t="s">
        <v>94</v>
      </c>
      <c r="C4" s="15" t="str">
        <f>'Test Case 8'!B11</f>
        <v>login with valid credentials</v>
      </c>
      <c r="D4" s="15" t="str">
        <f>'Test Case 8'!E11</f>
        <v>Redirected to Secure Area page.
Message: You logged into a secure area!</v>
      </c>
      <c r="E4" s="15" t="str">
        <f>'Test Case 8'!F11</f>
        <v>Redirected to Secure Area page.
Message: You logged into a secure area!</v>
      </c>
      <c r="F4" s="15" t="str">
        <f>'Test Case 8'!G11</f>
        <v>Pass</v>
      </c>
      <c r="G4" s="15" t="s">
        <v>24</v>
      </c>
    </row>
    <row r="5" spans="1:7" ht="48" customHeight="1" x14ac:dyDescent="0.25">
      <c r="A5" s="15" t="s">
        <v>95</v>
      </c>
      <c r="B5" s="15" t="s">
        <v>94</v>
      </c>
      <c r="C5" s="15" t="str">
        <f>'Test Case 8'!B12</f>
        <v>login with invalid username</v>
      </c>
      <c r="D5" s="15" t="str">
        <f>'Test Case 8'!E12</f>
        <v>Should show error:
Your username is invalid!</v>
      </c>
      <c r="E5" s="15" t="str">
        <f>'Test Case 8'!F12</f>
        <v>Error displayed:
Your username is invalid!</v>
      </c>
      <c r="F5" s="15" t="str">
        <f>'Test Case 8'!G12</f>
        <v>Pass</v>
      </c>
      <c r="G5" s="15" t="s">
        <v>24</v>
      </c>
    </row>
    <row r="6" spans="1:7" ht="48" customHeight="1" x14ac:dyDescent="0.25">
      <c r="A6" s="15" t="s">
        <v>96</v>
      </c>
      <c r="B6" s="15" t="s">
        <v>94</v>
      </c>
      <c r="C6" s="15" t="str">
        <f>'Test Case 8'!B13</f>
        <v>login with invalid password</v>
      </c>
      <c r="D6" s="15" t="str">
        <f>'Test Case 8'!E13</f>
        <v>Should show error:
Your password is invalid!</v>
      </c>
      <c r="E6" s="15" t="str">
        <f>'Test Case 8'!F13</f>
        <v>Error displayed:
Your password is invalid!</v>
      </c>
      <c r="F6" s="15" t="str">
        <f>'Test Case 8'!G13</f>
        <v>Pass</v>
      </c>
      <c r="G6" s="15" t="s">
        <v>24</v>
      </c>
    </row>
    <row r="7" spans="1:7" ht="48" customHeight="1" x14ac:dyDescent="0.25">
      <c r="A7" s="15" t="s">
        <v>97</v>
      </c>
      <c r="B7" s="15" t="s">
        <v>94</v>
      </c>
      <c r="C7" s="15" t="str">
        <f>'Test Case 8'!B14</f>
        <v>login with invalid username and invalid password</v>
      </c>
      <c r="D7" s="15" t="str">
        <f>'Test Case 8'!E14</f>
        <v>Should show error:
Your username is invalid!</v>
      </c>
      <c r="E7" s="15" t="str">
        <f>'Test Case 8'!F14</f>
        <v>Error displayed:
Your username is invalid!</v>
      </c>
      <c r="F7" s="15" t="str">
        <f>'Test Case 8'!G14</f>
        <v>Pass</v>
      </c>
      <c r="G7" s="15" t="s">
        <v>24</v>
      </c>
    </row>
    <row r="8" spans="1:7" ht="48" customHeight="1" x14ac:dyDescent="0.25">
      <c r="A8" s="15" t="s">
        <v>98</v>
      </c>
      <c r="B8" s="15" t="s">
        <v>94</v>
      </c>
      <c r="C8" s="15" t="str">
        <f>'Test Case 8'!B15</f>
        <v>login with empty username</v>
      </c>
      <c r="D8" s="15" t="str">
        <f>'Test Case 8'!E15</f>
        <v>Should show field specific error:
Username is required</v>
      </c>
      <c r="E8" s="15" t="str">
        <f>'Test Case 8'!F15</f>
        <v>Generic error displayed:
Your username is invalid!</v>
      </c>
      <c r="F8" s="15" t="str">
        <f>'Test Case 8'!G15</f>
        <v>Fail</v>
      </c>
      <c r="G8" s="15" t="s">
        <v>44</v>
      </c>
    </row>
    <row r="9" spans="1:7" ht="48" customHeight="1" x14ac:dyDescent="0.25">
      <c r="A9" s="15" t="s">
        <v>99</v>
      </c>
      <c r="B9" s="15" t="s">
        <v>94</v>
      </c>
      <c r="C9" s="15" t="str">
        <f>'Test Case 8'!B16</f>
        <v>login with empty password</v>
      </c>
      <c r="D9" s="15" t="str">
        <f>'Test Case 8'!E16</f>
        <v>Should show field specific error:
Password is required</v>
      </c>
      <c r="E9" s="15" t="str">
        <f>'Test Case 8'!F16</f>
        <v>Generic error displayed:
Your password is invalid!</v>
      </c>
      <c r="F9" s="15" t="str">
        <f>'Test Case 8'!G16</f>
        <v>Fail</v>
      </c>
      <c r="G9" s="15" t="s">
        <v>50</v>
      </c>
    </row>
    <row r="10" spans="1:7" ht="48" customHeight="1" x14ac:dyDescent="0.25">
      <c r="A10" s="15" t="s">
        <v>100</v>
      </c>
      <c r="B10" s="15" t="s">
        <v>94</v>
      </c>
      <c r="C10" s="15" t="str">
        <f>'Test Case 8'!B17</f>
        <v>login with empty username and empty password</v>
      </c>
      <c r="D10" s="15" t="str">
        <f>'Test Case 8'!E17</f>
        <v>Should show error that username 
and password are required</v>
      </c>
      <c r="E10" s="15" t="str">
        <f>'Test Case 8'!F17</f>
        <v>Generic error displayed:
Your username is invalid!</v>
      </c>
      <c r="F10" s="15" t="str">
        <f>'Test Case 8'!G17</f>
        <v>Fail</v>
      </c>
      <c r="G10" s="15" t="s">
        <v>54</v>
      </c>
    </row>
    <row r="11" spans="1:7" ht="48" customHeight="1" x14ac:dyDescent="0.25">
      <c r="A11" s="15" t="s">
        <v>101</v>
      </c>
      <c r="B11" s="15" t="s">
        <v>94</v>
      </c>
      <c r="C11" s="15" t="str">
        <f>'Test Case 8'!B18</f>
        <v>logout after successful login</v>
      </c>
      <c r="D11" s="15" t="str">
        <f>'Test Case 8'!E18</f>
        <v>Redirected to Login page.
Message: You logged out of the secure area!</v>
      </c>
      <c r="E11" s="15" t="str">
        <f>'Test Case 8'!F18</f>
        <v>Redirected to Login page.
Message: You logged out of the secure area!</v>
      </c>
      <c r="F11" s="15" t="str">
        <f>'Test Case 8'!G18</f>
        <v>Pass</v>
      </c>
      <c r="G11" s="15" t="s">
        <v>24</v>
      </c>
    </row>
    <row r="12" spans="1:7" ht="48" customHeight="1" x14ac:dyDescent="0.25">
      <c r="A12" s="15" t="s">
        <v>102</v>
      </c>
      <c r="B12" s="15" t="s">
        <v>94</v>
      </c>
      <c r="C12" s="15" t="str">
        <f>'Test Case 8'!B19</f>
        <v>access secure page without login</v>
      </c>
      <c r="D12" s="15" t="str">
        <f>'Test Case 8'!E19</f>
        <v>Redirected to Login page with error message
: You must login to view the secure area!</v>
      </c>
      <c r="E12" s="15" t="str">
        <f>'Test Case 8'!F19</f>
        <v>Redirected to Login page with error message:
 You must login to view the secure area!</v>
      </c>
      <c r="F12" s="15" t="str">
        <f>'Test Case 8'!G19</f>
        <v>Pass</v>
      </c>
      <c r="G12" s="15" t="s">
        <v>24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7"/>
  <sheetViews>
    <sheetView zoomScaleNormal="100" workbookViewId="0"/>
  </sheetViews>
  <sheetFormatPr defaultColWidth="8.6640625" defaultRowHeight="13.2" x14ac:dyDescent="0.25"/>
  <cols>
    <col min="1" max="1" width="10" customWidth="1"/>
    <col min="2" max="2" width="24" customWidth="1"/>
    <col min="3" max="3" width="14" customWidth="1"/>
    <col min="4" max="4" width="9" customWidth="1"/>
    <col min="5" max="5" width="10" customWidth="1"/>
    <col min="6" max="6" width="9" customWidth="1"/>
    <col min="7" max="7" width="40" customWidth="1"/>
    <col min="8" max="8" width="38" customWidth="1"/>
    <col min="9" max="9" width="28" customWidth="1"/>
    <col min="10" max="10" width="30" customWidth="1"/>
    <col min="11" max="11" width="16" customWidth="1"/>
    <col min="12" max="12" width="10" customWidth="1"/>
    <col min="13" max="13" width="13" customWidth="1"/>
  </cols>
  <sheetData>
    <row r="1" spans="1:13" ht="15.6" x14ac:dyDescent="0.3">
      <c r="A1" s="13" t="s">
        <v>103</v>
      </c>
    </row>
    <row r="3" spans="1:13" ht="26.4" x14ac:dyDescent="0.25">
      <c r="A3" s="14" t="s">
        <v>104</v>
      </c>
      <c r="B3" s="14" t="s">
        <v>105</v>
      </c>
      <c r="C3" s="14" t="s">
        <v>106</v>
      </c>
      <c r="D3" s="14" t="s">
        <v>107</v>
      </c>
      <c r="E3" s="14" t="s">
        <v>108</v>
      </c>
      <c r="F3" s="14" t="s">
        <v>109</v>
      </c>
      <c r="G3" s="14" t="s">
        <v>110</v>
      </c>
      <c r="H3" s="14" t="s">
        <v>111</v>
      </c>
      <c r="I3" s="14" t="s">
        <v>90</v>
      </c>
      <c r="J3" s="14" t="s">
        <v>91</v>
      </c>
      <c r="K3" s="14" t="s">
        <v>112</v>
      </c>
      <c r="L3" s="14" t="s">
        <v>17</v>
      </c>
      <c r="M3" s="14" t="s">
        <v>113</v>
      </c>
    </row>
    <row r="4" spans="1:13" ht="79.5" customHeight="1" x14ac:dyDescent="0.25">
      <c r="A4" s="15" t="s">
        <v>114</v>
      </c>
      <c r="B4" s="15" t="s">
        <v>115</v>
      </c>
      <c r="C4" s="15" t="s">
        <v>116</v>
      </c>
      <c r="D4" s="15" t="s">
        <v>117</v>
      </c>
      <c r="E4" s="15" t="s">
        <v>118</v>
      </c>
      <c r="F4" s="15" t="s">
        <v>119</v>
      </c>
      <c r="G4" s="15" t="s">
        <v>120</v>
      </c>
      <c r="H4" s="15" t="s">
        <v>121</v>
      </c>
      <c r="I4" s="15" t="s">
        <v>122</v>
      </c>
      <c r="J4" s="15" t="s">
        <v>123</v>
      </c>
      <c r="K4" s="15" t="s">
        <v>124</v>
      </c>
      <c r="L4" s="15" t="s">
        <v>125</v>
      </c>
      <c r="M4" s="15" t="s">
        <v>126</v>
      </c>
    </row>
    <row r="5" spans="1:13" ht="79.5" customHeight="1" x14ac:dyDescent="0.25">
      <c r="A5" s="15" t="s">
        <v>127</v>
      </c>
      <c r="B5" s="15" t="s">
        <v>115</v>
      </c>
      <c r="C5" s="15" t="s">
        <v>116</v>
      </c>
      <c r="D5" s="15" t="s">
        <v>117</v>
      </c>
      <c r="E5" s="15" t="s">
        <v>118</v>
      </c>
      <c r="F5" s="15" t="s">
        <v>119</v>
      </c>
      <c r="G5" s="15" t="s">
        <v>128</v>
      </c>
      <c r="H5" s="15" t="s">
        <v>129</v>
      </c>
      <c r="I5" s="15" t="s">
        <v>130</v>
      </c>
      <c r="J5" s="15" t="s">
        <v>131</v>
      </c>
      <c r="K5" s="15" t="s">
        <v>99</v>
      </c>
      <c r="L5" s="15" t="s">
        <v>125</v>
      </c>
      <c r="M5" s="15" t="s">
        <v>126</v>
      </c>
    </row>
    <row r="7" spans="1:13" x14ac:dyDescent="0.25">
      <c r="A7" s="18" t="s">
        <v>132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Case 8</vt:lpstr>
      <vt:lpstr>Test Summary Report</vt:lpstr>
      <vt:lpstr>Test Execution Report</vt:lpstr>
      <vt:lpstr>Bug Report (Bugzilla)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dc:description/>
  <cp:lastModifiedBy>patelvids62@gmail.com</cp:lastModifiedBy>
  <cp:revision>0</cp:revision>
  <dcterms:created xsi:type="dcterms:W3CDTF">2026-09-14T15:11:56Z</dcterms:created>
  <dcterms:modified xsi:type="dcterms:W3CDTF">2026-10-28T13:48:39Z</dcterms:modified>
  <dc:language>en-US</dc:language>
</cp:coreProperties>
</file>